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Plan 3 mo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2A44"/>
      <sz val="14"/>
    </font>
    <font>
      <name val="Arial"/>
      <i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DFF5"/>
      </patternFill>
    </fill>
    <fill>
      <patternFill patternType="solid">
        <fgColor rgb="00FDE9D9"/>
      </patternFill>
    </fill>
    <fill>
      <patternFill patternType="solid">
        <fgColor rgb="00DDEEFF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E9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/>
    </xf>
    <xf numFmtId="0" fontId="3" fillId="8" borderId="1" pivotButton="0" quotePrefix="0" xfId="0"/>
    <xf numFmtId="0" fontId="0" fillId="8" borderId="1" pivotButton="0" quotePrefix="0" xfId="0"/>
    <xf numFmtId="164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78" customWidth="1" min="2" max="2"/>
  </cols>
  <sheetData>
    <row r="1">
      <c r="A1" s="1" t="inlineStr">
        <is>
          <t>Plan de production des connaissances ALFRED — 3 mois</t>
        </is>
      </c>
    </row>
    <row r="2">
      <c r="A2" s="2" t="inlineStr">
        <is>
          <t>Fenetre du 17/08/2026 au 15/11/2026 (13 semaines) — MIS A JOUR le 20/08/2026 (nouvelle repartition Lot standard)</t>
        </is>
      </c>
    </row>
    <row r="4">
      <c r="A4" s="3" t="inlineStr">
        <is>
          <t>Revision du 20/08/2026</t>
        </is>
      </c>
      <c r="B4" s="4" t="inlineStr">
        <is>
          <t>Cette version remplace la ponderation par couverture-registre de la premiere version (16/08/2026) par la repartition precise imposee par Celine pour le lot standard quotidien de 60 fiches, appliquee avec succes le 20/08/2026 (Lot 13, volet rotation standard).</t>
        </is>
      </c>
    </row>
    <row r="5">
      <c r="A5" s="3" t="inlineStr">
        <is>
          <t>Nouvelle regle quotidienne (60 fiches/jour)</t>
        </is>
      </c>
      <c r="B5" s="4" t="inlineStr">
        <is>
          <t>20 fiches ALFRED CPL (hors business_strategy et demo_scenario en rotation reguliere) + 10 fiches secteurs_activite (angles nouveaux, sans dupliquer profil/normes/enjeux/vocabulaire/pestel deja crees) + 30 fiches socle reparties en 10 psychologie/emotions + 15 culture (cinema/musique/lecture) + 5 domaines au choix.</t>
        </is>
      </c>
    </row>
    <row r="6">
      <c r="A6" s="3" t="inlineStr">
        <is>
          <t>Volume cible sur la fenetre</t>
        </is>
      </c>
      <c r="B6" s="4" t="inlineStr">
        <is>
          <t>5 460 fiches (420/semaine x 13 semaines = 60/jour x 91 jours), inchange dans son total.</t>
        </is>
      </c>
    </row>
    <row r="7">
      <c r="A7" s="3" t="inlineStr">
        <is>
          <t>cpl.business_strategy — changement de statut</t>
        </is>
      </c>
      <c r="B7" s="4" t="inlineStr">
        <is>
          <t>Etait quasi gele (3/semaine) dans la version precedente du plan a cause de l'audit de consolidation en attente depuis le Lot 9. Cet audit a ete realise le 20/08/2026 (34 -&gt; 35 fiches, 6 doublons/stubs fusionnes, 7 nouveaux frameworks dont big data/RSE/ocean bleu) : le sous-domaine revient donc a un quota normal (12/semaine, comme les 10 autres sous-domaines cpl actifs). demo_scenario reste plus faible (8/semaine) car c'est un ensemble ferme par nature.</t>
        </is>
      </c>
    </row>
    <row r="8">
      <c r="A8" s="3" t="inlineStr">
        <is>
          <t>secteurs_activite — nouveau bloc dedie</t>
        </is>
      </c>
      <c r="B8" s="4" t="inlineStr">
        <is>
          <t>Domaine cree le 20/08/2026 (9 secteurs : sante, finance_banque, industrie_manufacturiere, retail_distribution, secteur_public, energie, construction_btp, assurance, transport_logistique), deja alimente de 45 fiches de base (profil/normes/enjeux/vocabulaire/pestel par secteur) plus 10 fiches d'approfondissement le meme jour. Quota desormais dedie et recurrent (10/jour = 70/semaine), reparti presque egalement entre les 9 secteurs.</t>
        </is>
      </c>
    </row>
    <row r="9">
      <c r="A9" s="3" t="inlineStr">
        <is>
          <t>Psychologie/emotions — nouveau bloc dedie</t>
        </is>
      </c>
      <c r="B9" s="4" t="inlineStr">
        <is>
          <t>10/jour = 70/semaine, reparti entre human.psychology (30/semaine, deja plus fourni : 18 fiches dont les apports du volet Ikigai du 20/08) et human.emotional_intelligence (40/semaine, plus fin : 9 fiches).</t>
        </is>
      </c>
    </row>
    <row r="10">
      <c r="A10" s="3" t="inlineStr">
        <is>
          <t>Culture cinema/musique/lecture — nouveau bloc dedie</t>
        </is>
      </c>
      <c r="B10" s="4" t="inlineStr">
        <is>
          <t>15/jour = 105/semaine, reparti egalement entre cinema (35/semaine), arts.musique (35/semaine) et arts.litterature (35/semaine, le plus fin des trois avec seulement 7 fiches). Le domaine cinema a ete formellement declare dans taxonomy.json/manifest.json le 20/08/2026 (regularisation d'une dette de gouvernance signalee depuis le Lot 11).</t>
        </is>
      </c>
    </row>
    <row r="11">
      <c r="A11" s="3" t="inlineStr">
        <is>
          <t>Bloc libre (5/jour)</t>
        </is>
      </c>
      <c r="B11" s="4" t="inlineStr">
        <is>
          <t>Volontairement non pre-assigne a un domaine fixe : ce bloc absorbe les besoins ponctuels identifies au moment de chaque lot (le 20/08/2026 il a servi a veille, gestion_projet, securite_ia, rse_developpement_durable, accessibilite_inclusion). Ne pas figer ce bloc dans un domaine precis, c'est son role d'etre la variable d'ajustement.</t>
        </is>
      </c>
    </row>
    <row r="12">
      <c r="A12" s="3" t="inlineStr">
        <is>
          <t>ARTHUR — statut change, plus de quota dedie automatique</t>
        </is>
      </c>
      <c r="B12" s="4" t="inlineStr">
        <is>
          <t>La version precedente du plan (16/08/2026) reservait 20 fiches/semaine a un bloc Arthur dedie (contes enfants 1-10 ans, litterature ado 10-15 ans, programmes scolaires, pedagogie d'explication). La nouvelle repartition imposee par Celine pour le lot standard ne mentionne plus Arthur specifiquement. Choix fait ici, a confirmer aupres de Celine si besoin : Arthur n'a plus de quota hebdomadaire automatique, mais reste accessible via le bloc libre (5/jour) au cas par cas, ou via un lot thematique dedie ponctuel (comme cela a ete fait pour secteurs_activite le 20/08/2026). Le domaine `arthur` n'existe toujours pas dans taxonomy.json a ce jour.</t>
        </is>
      </c>
    </row>
    <row r="13">
      <c r="A13" s="3" t="inlineStr">
        <is>
          <t>Ce que ce plan NE fixe PAS</t>
        </is>
      </c>
      <c r="B13" s="4" t="inlineStr">
        <is>
          <t>Les titres exacts de chaque fiche restent choisis au moment du lot quotidien (verification anti-doublon, coherence avec le registre du jour) — ce plan pilote le volume et la priorite par bloc/semaine, pas le contenu mot a mot.</t>
        </is>
      </c>
    </row>
    <row r="14">
      <c r="A14" s="3" t="inlineStr">
        <is>
          <t>Domaines exclus de la rotation</t>
        </is>
      </c>
      <c r="B14" s="4" t="inlineStr">
        <is>
          <t>core et system : fichiers de configuration/comportement a schema special, pas des fiches de connaissance generiques (decouvert et documente au Lot 10, 18/07/2026).</t>
        </is>
      </c>
    </row>
    <row r="16">
      <c r="A16" s="3" t="inlineStr">
        <is>
          <t>Controle de coherence (calcule depuis l'onglet 'Plan 3 mois')</t>
        </is>
      </c>
    </row>
    <row r="17">
      <c r="A17" s="5" t="inlineStr">
        <is>
          <t>Bloc CPL / semaine (cible = 140, soit 20/jour)</t>
        </is>
      </c>
      <c r="B17" s="5">
        <f>'Plan 3 mois'!H31</f>
        <v/>
      </c>
    </row>
    <row r="18">
      <c r="A18" s="5" t="inlineStr">
        <is>
          <t>Bloc Secteurs d'activite / semaine (cible = 70, soit 10/jour)</t>
        </is>
      </c>
      <c r="B18" s="5">
        <f>'Plan 3 mois'!H32</f>
        <v/>
      </c>
    </row>
    <row r="19">
      <c r="A19" s="5" t="inlineStr">
        <is>
          <t>Bloc Psychologie/emotions / semaine (cible = 70, soit 10/jour)</t>
        </is>
      </c>
      <c r="B19" s="5">
        <f>'Plan 3 mois'!H33</f>
        <v/>
      </c>
    </row>
    <row r="20">
      <c r="A20" s="5" t="inlineStr">
        <is>
          <t>Bloc Culture cinema/musique/lecture / semaine (cible = 105, soit 15/jour)</t>
        </is>
      </c>
      <c r="B20" s="5">
        <f>'Plan 3 mois'!H34</f>
        <v/>
      </c>
    </row>
    <row r="21">
      <c r="A21" s="5" t="inlineStr">
        <is>
          <t>Bloc Libre / semaine (cible = 35, soit 5/jour)</t>
        </is>
      </c>
      <c r="B21" s="5">
        <f>'Plan 3 mois'!H35</f>
        <v/>
      </c>
    </row>
    <row r="22">
      <c r="A22" s="3" t="inlineStr">
        <is>
          <t>TOTAL GENERAL / semaine (cible = 420)</t>
        </is>
      </c>
      <c r="B22" s="3">
        <f>'Plan 3 mois'!H29</f>
        <v/>
      </c>
    </row>
    <row r="23">
      <c r="A23" s="3" t="inlineStr">
        <is>
          <t>Equivalent moyen / jour (cible = 60)</t>
        </is>
      </c>
      <c r="B23" s="3">
        <f>'Plan 3 mois'!I29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2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4" customWidth="1" min="10" max="10"/>
    <col width="60" customWidth="1" min="11" max="11"/>
  </cols>
  <sheetData>
    <row r="1">
      <c r="A1" s="6" t="inlineStr">
        <is>
          <t>Domaine</t>
        </is>
      </c>
      <c r="B1" s="6" t="inlineStr">
        <is>
          <t>Sous-domaine</t>
        </is>
      </c>
      <c r="C1" s="6" t="inlineStr">
        <is>
          <t>Bloc (regle quotidienne)</t>
        </is>
      </c>
      <c r="D1" s="6" t="inlineStr">
        <is>
          <t>ALFRED Core</t>
        </is>
      </c>
      <c r="E1" s="6" t="inlineStr">
        <is>
          <t>ALFRED CPL</t>
        </is>
      </c>
      <c r="F1" s="6" t="inlineStr">
        <is>
          <t>ARTHUR</t>
        </is>
      </c>
      <c r="G1" s="6" t="inlineStr">
        <is>
          <t>Fiches existantes (20/08/2026 soir)</t>
        </is>
      </c>
      <c r="H1" s="6" t="inlineStr">
        <is>
          <t>Quota / semaine</t>
        </is>
      </c>
      <c r="I1" s="6" t="inlineStr">
        <is>
          <t>Quota / jour (moyenne)</t>
        </is>
      </c>
      <c r="J1" s="6" t="inlineStr">
        <is>
          <t>Total sur 3 mois (13 sem.)</t>
        </is>
      </c>
      <c r="K1" s="6" t="inlineStr">
        <is>
          <t>Note</t>
        </is>
      </c>
    </row>
    <row r="2">
      <c r="A2" s="7" t="inlineStr">
        <is>
          <t>cpl</t>
        </is>
      </c>
      <c r="B2" s="8" t="inlineStr">
        <is>
          <t>strategy</t>
        </is>
      </c>
      <c r="C2" s="7" t="inlineStr">
        <is>
          <t>CPL (20/jour)</t>
        </is>
      </c>
      <c r="D2" s="7" t="inlineStr">
        <is>
          <t>Non</t>
        </is>
      </c>
      <c r="E2" s="7" t="inlineStr">
        <is>
          <t>Oui</t>
        </is>
      </c>
      <c r="F2" s="7" t="inlineStr">
        <is>
          <t>Non</t>
        </is>
      </c>
      <c r="G2" s="7" t="n">
        <v>12</v>
      </c>
      <c r="H2" s="7" t="n">
        <v>12</v>
      </c>
      <c r="I2" s="9">
        <f>H2/7</f>
        <v/>
      </c>
      <c r="J2" s="7">
        <f>H2*13</f>
        <v/>
      </c>
      <c r="K2" s="8" t="inlineStr"/>
    </row>
    <row r="3">
      <c r="A3" s="7" t="inlineStr">
        <is>
          <t>cpl</t>
        </is>
      </c>
      <c r="B3" s="8" t="inlineStr">
        <is>
          <t>product_ia</t>
        </is>
      </c>
      <c r="C3" s="7" t="inlineStr">
        <is>
          <t>CPL (20/jour)</t>
        </is>
      </c>
      <c r="D3" s="7" t="inlineStr">
        <is>
          <t>Non</t>
        </is>
      </c>
      <c r="E3" s="7" t="inlineStr">
        <is>
          <t>Oui</t>
        </is>
      </c>
      <c r="F3" s="7" t="inlineStr">
        <is>
          <t>Non</t>
        </is>
      </c>
      <c r="G3" s="7" t="n">
        <v>12</v>
      </c>
      <c r="H3" s="7" t="n">
        <v>12</v>
      </c>
      <c r="I3" s="9">
        <f>H3/7</f>
        <v/>
      </c>
      <c r="J3" s="7">
        <f>H3*13</f>
        <v/>
      </c>
      <c r="K3" s="8" t="inlineStr"/>
    </row>
    <row r="4">
      <c r="A4" s="7" t="inlineStr">
        <is>
          <t>cpl</t>
        </is>
      </c>
      <c r="B4" s="8" t="inlineStr">
        <is>
          <t>execution</t>
        </is>
      </c>
      <c r="C4" s="7" t="inlineStr">
        <is>
          <t>CPL (20/jour)</t>
        </is>
      </c>
      <c r="D4" s="7" t="inlineStr">
        <is>
          <t>Non</t>
        </is>
      </c>
      <c r="E4" s="7" t="inlineStr">
        <is>
          <t>Oui</t>
        </is>
      </c>
      <c r="F4" s="7" t="inlineStr">
        <is>
          <t>Non</t>
        </is>
      </c>
      <c r="G4" s="7" t="n">
        <v>14</v>
      </c>
      <c r="H4" s="7" t="n">
        <v>12</v>
      </c>
      <c r="I4" s="9">
        <f>H4/7</f>
        <v/>
      </c>
      <c r="J4" s="7">
        <f>H4*13</f>
        <v/>
      </c>
      <c r="K4" s="8" t="inlineStr"/>
    </row>
    <row r="5">
      <c r="A5" s="7" t="inlineStr">
        <is>
          <t>cpl</t>
        </is>
      </c>
      <c r="B5" s="8" t="inlineStr">
        <is>
          <t>business_piloting</t>
        </is>
      </c>
      <c r="C5" s="7" t="inlineStr">
        <is>
          <t>CPL (20/jour)</t>
        </is>
      </c>
      <c r="D5" s="7" t="inlineStr">
        <is>
          <t>Non</t>
        </is>
      </c>
      <c r="E5" s="7" t="inlineStr">
        <is>
          <t>Oui</t>
        </is>
      </c>
      <c r="F5" s="7" t="inlineStr">
        <is>
          <t>Non</t>
        </is>
      </c>
      <c r="G5" s="7" t="n">
        <v>12</v>
      </c>
      <c r="H5" s="7" t="n">
        <v>12</v>
      </c>
      <c r="I5" s="9">
        <f>H5/7</f>
        <v/>
      </c>
      <c r="J5" s="7">
        <f>H5*13</f>
        <v/>
      </c>
      <c r="K5" s="8" t="inlineStr"/>
    </row>
    <row r="6">
      <c r="A6" s="7" t="inlineStr">
        <is>
          <t>cpl</t>
        </is>
      </c>
      <c r="B6" s="8" t="inlineStr">
        <is>
          <t>ethics_governance</t>
        </is>
      </c>
      <c r="C6" s="7" t="inlineStr">
        <is>
          <t>CPL (20/jour)</t>
        </is>
      </c>
      <c r="D6" s="7" t="inlineStr">
        <is>
          <t>Non</t>
        </is>
      </c>
      <c r="E6" s="7" t="inlineStr">
        <is>
          <t>Oui</t>
        </is>
      </c>
      <c r="F6" s="7" t="inlineStr">
        <is>
          <t>Non</t>
        </is>
      </c>
      <c r="G6" s="7" t="n">
        <v>15</v>
      </c>
      <c r="H6" s="7" t="n">
        <v>12</v>
      </c>
      <c r="I6" s="9">
        <f>H6/7</f>
        <v/>
      </c>
      <c r="J6" s="7">
        <f>H6*13</f>
        <v/>
      </c>
      <c r="K6" s="8" t="inlineStr"/>
    </row>
    <row r="7">
      <c r="A7" s="7" t="inlineStr">
        <is>
          <t>cpl</t>
        </is>
      </c>
      <c r="B7" s="8" t="inlineStr">
        <is>
          <t>human_communication</t>
        </is>
      </c>
      <c r="C7" s="7" t="inlineStr">
        <is>
          <t>CPL (20/jour)</t>
        </is>
      </c>
      <c r="D7" s="7" t="inlineStr">
        <is>
          <t>Non</t>
        </is>
      </c>
      <c r="E7" s="7" t="inlineStr">
        <is>
          <t>Oui</t>
        </is>
      </c>
      <c r="F7" s="7" t="inlineStr">
        <is>
          <t>Non</t>
        </is>
      </c>
      <c r="G7" s="7" t="n">
        <v>13</v>
      </c>
      <c r="H7" s="7" t="n">
        <v>12</v>
      </c>
      <c r="I7" s="9">
        <f>H7/7</f>
        <v/>
      </c>
      <c r="J7" s="7">
        <f>H7*13</f>
        <v/>
      </c>
      <c r="K7" s="8" t="inlineStr"/>
    </row>
    <row r="8">
      <c r="A8" s="7" t="inlineStr">
        <is>
          <t>cpl</t>
        </is>
      </c>
      <c r="B8" s="8" t="inlineStr">
        <is>
          <t>human_organization</t>
        </is>
      </c>
      <c r="C8" s="7" t="inlineStr">
        <is>
          <t>CPL (20/jour)</t>
        </is>
      </c>
      <c r="D8" s="7" t="inlineStr">
        <is>
          <t>Non</t>
        </is>
      </c>
      <c r="E8" s="7" t="inlineStr">
        <is>
          <t>Oui</t>
        </is>
      </c>
      <c r="F8" s="7" t="inlineStr">
        <is>
          <t>Non</t>
        </is>
      </c>
      <c r="G8" s="7" t="n">
        <v>11</v>
      </c>
      <c r="H8" s="7" t="n">
        <v>12</v>
      </c>
      <c r="I8" s="9">
        <f>H8/7</f>
        <v/>
      </c>
      <c r="J8" s="7">
        <f>H8*13</f>
        <v/>
      </c>
      <c r="K8" s="8" t="inlineStr"/>
    </row>
    <row r="9">
      <c r="A9" s="7" t="inlineStr">
        <is>
          <t>cpl</t>
        </is>
      </c>
      <c r="B9" s="8" t="inlineStr">
        <is>
          <t>business_strategy</t>
        </is>
      </c>
      <c r="C9" s="7" t="inlineStr">
        <is>
          <t>CPL (20/jour)</t>
        </is>
      </c>
      <c r="D9" s="7" t="inlineStr">
        <is>
          <t>Non</t>
        </is>
      </c>
      <c r="E9" s="7" t="inlineStr">
        <is>
          <t>Oui</t>
        </is>
      </c>
      <c r="F9" s="7" t="inlineStr">
        <is>
          <t>Non</t>
        </is>
      </c>
      <c r="G9" s="7" t="n">
        <v>35</v>
      </c>
      <c r="H9" s="7" t="n">
        <v>12</v>
      </c>
      <c r="I9" s="9">
        <f>H9/7</f>
        <v/>
      </c>
      <c r="J9" s="7">
        <f>H9*13</f>
        <v/>
      </c>
      <c r="K9" s="8" t="inlineStr"/>
    </row>
    <row r="10">
      <c r="A10" s="7" t="inlineStr">
        <is>
          <t>cpl</t>
        </is>
      </c>
      <c r="B10" s="8" t="inlineStr">
        <is>
          <t>product_platform</t>
        </is>
      </c>
      <c r="C10" s="7" t="inlineStr">
        <is>
          <t>CPL (20/jour)</t>
        </is>
      </c>
      <c r="D10" s="7" t="inlineStr">
        <is>
          <t>Non</t>
        </is>
      </c>
      <c r="E10" s="7" t="inlineStr">
        <is>
          <t>Oui</t>
        </is>
      </c>
      <c r="F10" s="7" t="inlineStr">
        <is>
          <t>Non</t>
        </is>
      </c>
      <c r="G10" s="7" t="n">
        <v>26</v>
      </c>
      <c r="H10" s="7" t="n">
        <v>12</v>
      </c>
      <c r="I10" s="9">
        <f>H10/7</f>
        <v/>
      </c>
      <c r="J10" s="7">
        <f>H10*13</f>
        <v/>
      </c>
      <c r="K10" s="8" t="inlineStr"/>
    </row>
    <row r="11">
      <c r="A11" s="7" t="inlineStr">
        <is>
          <t>cpl</t>
        </is>
      </c>
      <c r="B11" s="8" t="inlineStr">
        <is>
          <t>operations_continuite</t>
        </is>
      </c>
      <c r="C11" s="7" t="inlineStr">
        <is>
          <t>CPL (20/jour)</t>
        </is>
      </c>
      <c r="D11" s="7" t="inlineStr">
        <is>
          <t>Non</t>
        </is>
      </c>
      <c r="E11" s="7" t="inlineStr">
        <is>
          <t>Oui</t>
        </is>
      </c>
      <c r="F11" s="7" t="inlineStr">
        <is>
          <t>Non</t>
        </is>
      </c>
      <c r="G11" s="7" t="n">
        <v>13</v>
      </c>
      <c r="H11" s="7" t="n">
        <v>12</v>
      </c>
      <c r="I11" s="9">
        <f>H11/7</f>
        <v/>
      </c>
      <c r="J11" s="7">
        <f>H11*13</f>
        <v/>
      </c>
      <c r="K11" s="8" t="inlineStr"/>
    </row>
    <row r="12">
      <c r="A12" s="7" t="inlineStr">
        <is>
          <t>cpl</t>
        </is>
      </c>
      <c r="B12" s="8" t="inlineStr">
        <is>
          <t>documentation_procedures</t>
        </is>
      </c>
      <c r="C12" s="7" t="inlineStr">
        <is>
          <t>CPL (20/jour)</t>
        </is>
      </c>
      <c r="D12" s="7" t="inlineStr">
        <is>
          <t>Non</t>
        </is>
      </c>
      <c r="E12" s="7" t="inlineStr">
        <is>
          <t>Oui</t>
        </is>
      </c>
      <c r="F12" s="7" t="inlineStr">
        <is>
          <t>Non</t>
        </is>
      </c>
      <c r="G12" s="7" t="n">
        <v>12</v>
      </c>
      <c r="H12" s="7" t="n">
        <v>12</v>
      </c>
      <c r="I12" s="9">
        <f>H12/7</f>
        <v/>
      </c>
      <c r="J12" s="7">
        <f>H12*13</f>
        <v/>
      </c>
      <c r="K12" s="8" t="inlineStr"/>
    </row>
    <row r="13">
      <c r="A13" s="7" t="inlineStr">
        <is>
          <t>cpl</t>
        </is>
      </c>
      <c r="B13" s="8" t="inlineStr">
        <is>
          <t>demo_scenario</t>
        </is>
      </c>
      <c r="C13" s="7" t="inlineStr">
        <is>
          <t>CPL (20/jour)</t>
        </is>
      </c>
      <c r="D13" s="7" t="inlineStr">
        <is>
          <t>Non</t>
        </is>
      </c>
      <c r="E13" s="7" t="inlineStr">
        <is>
          <t>Oui</t>
        </is>
      </c>
      <c r="F13" s="7" t="inlineStr">
        <is>
          <t>Non</t>
        </is>
      </c>
      <c r="G13" s="7" t="n">
        <v>4</v>
      </c>
      <c r="H13" s="7" t="n">
        <v>8</v>
      </c>
      <c r="I13" s="9">
        <f>H13/7</f>
        <v/>
      </c>
      <c r="J13" s="7">
        <f>H13*13</f>
        <v/>
      </c>
      <c r="K13" s="8" t="inlineStr"/>
    </row>
    <row r="14">
      <c r="A14" s="10" t="inlineStr">
        <is>
          <t>secteurs_activite</t>
        </is>
      </c>
      <c r="B14" s="11" t="inlineStr">
        <is>
          <t>sante</t>
        </is>
      </c>
      <c r="C14" s="10" t="inlineStr">
        <is>
          <t>Secteurs d'activite (10/jour)</t>
        </is>
      </c>
      <c r="D14" s="10" t="inlineStr">
        <is>
          <t>Oui</t>
        </is>
      </c>
      <c r="E14" s="10" t="inlineStr">
        <is>
          <t>Oui</t>
        </is>
      </c>
      <c r="F14" s="10" t="inlineStr">
        <is>
          <t>Non</t>
        </is>
      </c>
      <c r="G14" s="10" t="n">
        <v>6</v>
      </c>
      <c r="H14" s="10" t="n">
        <v>8</v>
      </c>
      <c r="I14" s="12">
        <f>H14/7</f>
        <v/>
      </c>
      <c r="J14" s="10">
        <f>H14*13</f>
        <v/>
      </c>
      <c r="K14" s="11" t="inlineStr">
        <is>
          <t>Angles nouveaux uniquement (profil/normes/enjeux/vocabulaire/pestel deja couverts le 20/08/2026)</t>
        </is>
      </c>
    </row>
    <row r="15">
      <c r="A15" s="10" t="inlineStr">
        <is>
          <t>secteurs_activite</t>
        </is>
      </c>
      <c r="B15" s="11" t="inlineStr">
        <is>
          <t>assurance</t>
        </is>
      </c>
      <c r="C15" s="10" t="inlineStr">
        <is>
          <t>Secteurs d'activite (10/jour)</t>
        </is>
      </c>
      <c r="D15" s="10" t="inlineStr">
        <is>
          <t>Oui</t>
        </is>
      </c>
      <c r="E15" s="10" t="inlineStr">
        <is>
          <t>Oui</t>
        </is>
      </c>
      <c r="F15" s="10" t="inlineStr">
        <is>
          <t>Non</t>
        </is>
      </c>
      <c r="G15" s="10" t="n">
        <v>6</v>
      </c>
      <c r="H15" s="10" t="n">
        <v>8</v>
      </c>
      <c r="I15" s="12">
        <f>H15/7</f>
        <v/>
      </c>
      <c r="J15" s="10">
        <f>H15*13</f>
        <v/>
      </c>
      <c r="K15" s="11" t="inlineStr">
        <is>
          <t>Angles nouveaux uniquement (profil/normes/enjeux/vocabulaire/pestel deja couverts le 20/08/2026)</t>
        </is>
      </c>
    </row>
    <row r="16">
      <c r="A16" s="10" t="inlineStr">
        <is>
          <t>secteurs_activite</t>
        </is>
      </c>
      <c r="B16" s="11" t="inlineStr">
        <is>
          <t>construction_btp</t>
        </is>
      </c>
      <c r="C16" s="10" t="inlineStr">
        <is>
          <t>Secteurs d'activite (10/jour)</t>
        </is>
      </c>
      <c r="D16" s="10" t="inlineStr">
        <is>
          <t>Oui</t>
        </is>
      </c>
      <c r="E16" s="10" t="inlineStr">
        <is>
          <t>Oui</t>
        </is>
      </c>
      <c r="F16" s="10" t="inlineStr">
        <is>
          <t>Non</t>
        </is>
      </c>
      <c r="G16" s="10" t="n">
        <v>6</v>
      </c>
      <c r="H16" s="10" t="n">
        <v>8</v>
      </c>
      <c r="I16" s="12">
        <f>H16/7</f>
        <v/>
      </c>
      <c r="J16" s="10">
        <f>H16*13</f>
        <v/>
      </c>
      <c r="K16" s="11" t="inlineStr">
        <is>
          <t>Angles nouveaux uniquement (profil/normes/enjeux/vocabulaire/pestel deja couverts le 20/08/2026)</t>
        </is>
      </c>
    </row>
    <row r="17">
      <c r="A17" s="10" t="inlineStr">
        <is>
          <t>secteurs_activite</t>
        </is>
      </c>
      <c r="B17" s="11" t="inlineStr">
        <is>
          <t>energie</t>
        </is>
      </c>
      <c r="C17" s="10" t="inlineStr">
        <is>
          <t>Secteurs d'activite (10/jour)</t>
        </is>
      </c>
      <c r="D17" s="10" t="inlineStr">
        <is>
          <t>Oui</t>
        </is>
      </c>
      <c r="E17" s="10" t="inlineStr">
        <is>
          <t>Oui</t>
        </is>
      </c>
      <c r="F17" s="10" t="inlineStr">
        <is>
          <t>Non</t>
        </is>
      </c>
      <c r="G17" s="10" t="n">
        <v>6</v>
      </c>
      <c r="H17" s="10" t="n">
        <v>8</v>
      </c>
      <c r="I17" s="12">
        <f>H17/7</f>
        <v/>
      </c>
      <c r="J17" s="10">
        <f>H17*13</f>
        <v/>
      </c>
      <c r="K17" s="11" t="inlineStr">
        <is>
          <t>Angles nouveaux uniquement (profil/normes/enjeux/vocabulaire/pestel deja couverts le 20/08/2026)</t>
        </is>
      </c>
    </row>
    <row r="18">
      <c r="A18" s="10" t="inlineStr">
        <is>
          <t>secteurs_activite</t>
        </is>
      </c>
      <c r="B18" s="11" t="inlineStr">
        <is>
          <t>industrie_manufacturiere</t>
        </is>
      </c>
      <c r="C18" s="10" t="inlineStr">
        <is>
          <t>Secteurs d'activite (10/jour)</t>
        </is>
      </c>
      <c r="D18" s="10" t="inlineStr">
        <is>
          <t>Oui</t>
        </is>
      </c>
      <c r="E18" s="10" t="inlineStr">
        <is>
          <t>Oui</t>
        </is>
      </c>
      <c r="F18" s="10" t="inlineStr">
        <is>
          <t>Non</t>
        </is>
      </c>
      <c r="G18" s="10" t="n">
        <v>6</v>
      </c>
      <c r="H18" s="10" t="n">
        <v>8</v>
      </c>
      <c r="I18" s="12">
        <f>H18/7</f>
        <v/>
      </c>
      <c r="J18" s="10">
        <f>H18*13</f>
        <v/>
      </c>
      <c r="K18" s="11" t="inlineStr">
        <is>
          <t>Angles nouveaux uniquement (profil/normes/enjeux/vocabulaire/pestel deja couverts le 20/08/2026)</t>
        </is>
      </c>
    </row>
    <row r="19">
      <c r="A19" s="10" t="inlineStr">
        <is>
          <t>secteurs_activite</t>
        </is>
      </c>
      <c r="B19" s="11" t="inlineStr">
        <is>
          <t>retail_distribution</t>
        </is>
      </c>
      <c r="C19" s="10" t="inlineStr">
        <is>
          <t>Secteurs d'activite (10/jour)</t>
        </is>
      </c>
      <c r="D19" s="10" t="inlineStr">
        <is>
          <t>Oui</t>
        </is>
      </c>
      <c r="E19" s="10" t="inlineStr">
        <is>
          <t>Oui</t>
        </is>
      </c>
      <c r="F19" s="10" t="inlineStr">
        <is>
          <t>Non</t>
        </is>
      </c>
      <c r="G19" s="10" t="n">
        <v>6</v>
      </c>
      <c r="H19" s="10" t="n">
        <v>8</v>
      </c>
      <c r="I19" s="12">
        <f>H19/7</f>
        <v/>
      </c>
      <c r="J19" s="10">
        <f>H19*13</f>
        <v/>
      </c>
      <c r="K19" s="11" t="inlineStr">
        <is>
          <t>Angles nouveaux uniquement (profil/normes/enjeux/vocabulaire/pestel deja couverts le 20/08/2026)</t>
        </is>
      </c>
    </row>
    <row r="20">
      <c r="A20" s="10" t="inlineStr">
        <is>
          <t>secteurs_activite</t>
        </is>
      </c>
      <c r="B20" s="11" t="inlineStr">
        <is>
          <t>secteur_public</t>
        </is>
      </c>
      <c r="C20" s="10" t="inlineStr">
        <is>
          <t>Secteurs d'activite (10/jour)</t>
        </is>
      </c>
      <c r="D20" s="10" t="inlineStr">
        <is>
          <t>Oui</t>
        </is>
      </c>
      <c r="E20" s="10" t="inlineStr">
        <is>
          <t>Oui</t>
        </is>
      </c>
      <c r="F20" s="10" t="inlineStr">
        <is>
          <t>Non</t>
        </is>
      </c>
      <c r="G20" s="10" t="n">
        <v>6</v>
      </c>
      <c r="H20" s="10" t="n">
        <v>8</v>
      </c>
      <c r="I20" s="12">
        <f>H20/7</f>
        <v/>
      </c>
      <c r="J20" s="10">
        <f>H20*13</f>
        <v/>
      </c>
      <c r="K20" s="11" t="inlineStr">
        <is>
          <t>Angles nouveaux uniquement (profil/normes/enjeux/vocabulaire/pestel deja couverts le 20/08/2026)</t>
        </is>
      </c>
    </row>
    <row r="21">
      <c r="A21" s="10" t="inlineStr">
        <is>
          <t>secteurs_activite</t>
        </is>
      </c>
      <c r="B21" s="11" t="inlineStr">
        <is>
          <t>finance_banque</t>
        </is>
      </c>
      <c r="C21" s="10" t="inlineStr">
        <is>
          <t>Secteurs d'activite (10/jour)</t>
        </is>
      </c>
      <c r="D21" s="10" t="inlineStr">
        <is>
          <t>Oui</t>
        </is>
      </c>
      <c r="E21" s="10" t="inlineStr">
        <is>
          <t>Oui</t>
        </is>
      </c>
      <c r="F21" s="10" t="inlineStr">
        <is>
          <t>Non</t>
        </is>
      </c>
      <c r="G21" s="10" t="n">
        <v>7</v>
      </c>
      <c r="H21" s="10" t="n">
        <v>7</v>
      </c>
      <c r="I21" s="12">
        <f>H21/7</f>
        <v/>
      </c>
      <c r="J21" s="10">
        <f>H21*13</f>
        <v/>
      </c>
      <c r="K21" s="11" t="inlineStr">
        <is>
          <t>Angles nouveaux uniquement (profil/normes/enjeux/vocabulaire/pestel deja couverts le 20/08/2026)</t>
        </is>
      </c>
    </row>
    <row r="22">
      <c r="A22" s="10" t="inlineStr">
        <is>
          <t>secteurs_activite</t>
        </is>
      </c>
      <c r="B22" s="11" t="inlineStr">
        <is>
          <t>transport_logistique</t>
        </is>
      </c>
      <c r="C22" s="10" t="inlineStr">
        <is>
          <t>Secteurs d'activite (10/jour)</t>
        </is>
      </c>
      <c r="D22" s="10" t="inlineStr">
        <is>
          <t>Oui</t>
        </is>
      </c>
      <c r="E22" s="10" t="inlineStr">
        <is>
          <t>Oui</t>
        </is>
      </c>
      <c r="F22" s="10" t="inlineStr">
        <is>
          <t>Non</t>
        </is>
      </c>
      <c r="G22" s="10" t="n">
        <v>6</v>
      </c>
      <c r="H22" s="10" t="n">
        <v>7</v>
      </c>
      <c r="I22" s="12">
        <f>H22/7</f>
        <v/>
      </c>
      <c r="J22" s="10">
        <f>H22*13</f>
        <v/>
      </c>
      <c r="K22" s="11" t="inlineStr">
        <is>
          <t>Angles nouveaux uniquement (profil/normes/enjeux/vocabulaire/pestel deja couverts le 20/08/2026)</t>
        </is>
      </c>
    </row>
    <row r="23">
      <c r="A23" s="13" t="inlineStr">
        <is>
          <t>human</t>
        </is>
      </c>
      <c r="B23" s="14" t="inlineStr">
        <is>
          <t>emotional_intelligence</t>
        </is>
      </c>
      <c r="C23" s="13" t="inlineStr">
        <is>
          <t>Psychologie/emotions (10/jour)</t>
        </is>
      </c>
      <c r="D23" s="13" t="inlineStr">
        <is>
          <t>Oui</t>
        </is>
      </c>
      <c r="E23" s="13" t="inlineStr">
        <is>
          <t>Non</t>
        </is>
      </c>
      <c r="F23" s="13" t="inlineStr">
        <is>
          <t>Oui</t>
        </is>
      </c>
      <c r="G23" s="13" t="n">
        <v>9</v>
      </c>
      <c r="H23" s="13" t="n">
        <v>40</v>
      </c>
      <c r="I23" s="15">
        <f>H23/7</f>
        <v/>
      </c>
      <c r="J23" s="13">
        <f>H23*13</f>
        <v/>
      </c>
      <c r="K23" s="14" t="inlineStr"/>
    </row>
    <row r="24">
      <c r="A24" s="13" t="inlineStr">
        <is>
          <t>human</t>
        </is>
      </c>
      <c r="B24" s="14" t="inlineStr">
        <is>
          <t>psychology</t>
        </is>
      </c>
      <c r="C24" s="13" t="inlineStr">
        <is>
          <t>Psychologie/emotions (10/jour)</t>
        </is>
      </c>
      <c r="D24" s="13" t="inlineStr">
        <is>
          <t>Oui</t>
        </is>
      </c>
      <c r="E24" s="13" t="inlineStr">
        <is>
          <t>Non</t>
        </is>
      </c>
      <c r="F24" s="13" t="inlineStr">
        <is>
          <t>Oui</t>
        </is>
      </c>
      <c r="G24" s="13" t="n">
        <v>18</v>
      </c>
      <c r="H24" s="13" t="n">
        <v>30</v>
      </c>
      <c r="I24" s="15">
        <f>H24/7</f>
        <v/>
      </c>
      <c r="J24" s="13">
        <f>H24*13</f>
        <v/>
      </c>
      <c r="K24" s="14" t="inlineStr"/>
    </row>
    <row r="25">
      <c r="A25" s="16" t="inlineStr">
        <is>
          <t>cinema</t>
        </is>
      </c>
      <c r="B25" s="17" t="inlineStr">
        <is>
          <t>cinema</t>
        </is>
      </c>
      <c r="C25" s="16" t="inlineStr">
        <is>
          <t>Culture cinema/musique/lecture (15/jour)</t>
        </is>
      </c>
      <c r="D25" s="16" t="inlineStr">
        <is>
          <t>Oui</t>
        </is>
      </c>
      <c r="E25" s="16" t="inlineStr">
        <is>
          <t>Non</t>
        </is>
      </c>
      <c r="F25" s="16" t="inlineStr">
        <is>
          <t>Oui</t>
        </is>
      </c>
      <c r="G25" s="16" t="n">
        <v>12</v>
      </c>
      <c r="H25" s="16" t="n">
        <v>35</v>
      </c>
      <c r="I25" s="18">
        <f>H25/7</f>
        <v/>
      </c>
      <c r="J25" s="16">
        <f>H25*13</f>
        <v/>
      </c>
      <c r="K25" s="17" t="inlineStr"/>
    </row>
    <row r="26">
      <c r="A26" s="16" t="inlineStr">
        <is>
          <t>arts</t>
        </is>
      </c>
      <c r="B26" s="17" t="inlineStr">
        <is>
          <t>musique</t>
        </is>
      </c>
      <c r="C26" s="16" t="inlineStr">
        <is>
          <t>Culture cinema/musique/lecture (15/jour)</t>
        </is>
      </c>
      <c r="D26" s="16" t="inlineStr">
        <is>
          <t>Oui</t>
        </is>
      </c>
      <c r="E26" s="16" t="inlineStr">
        <is>
          <t>Non</t>
        </is>
      </c>
      <c r="F26" s="16" t="inlineStr">
        <is>
          <t>Oui</t>
        </is>
      </c>
      <c r="G26" s="16" t="n">
        <v>10</v>
      </c>
      <c r="H26" s="16" t="n">
        <v>35</v>
      </c>
      <c r="I26" s="18">
        <f>H26/7</f>
        <v/>
      </c>
      <c r="J26" s="16">
        <f>H26*13</f>
        <v/>
      </c>
      <c r="K26" s="17" t="inlineStr"/>
    </row>
    <row r="27">
      <c r="A27" s="16" t="inlineStr">
        <is>
          <t>arts</t>
        </is>
      </c>
      <c r="B27" s="17" t="inlineStr">
        <is>
          <t>litterature</t>
        </is>
      </c>
      <c r="C27" s="16" t="inlineStr">
        <is>
          <t>Culture cinema/musique/lecture (15/jour)</t>
        </is>
      </c>
      <c r="D27" s="16" t="inlineStr">
        <is>
          <t>Oui</t>
        </is>
      </c>
      <c r="E27" s="16" t="inlineStr">
        <is>
          <t>Non</t>
        </is>
      </c>
      <c r="F27" s="16" t="inlineStr">
        <is>
          <t>Oui</t>
        </is>
      </c>
      <c r="G27" s="16" t="n">
        <v>7</v>
      </c>
      <c r="H27" s="16" t="n">
        <v>35</v>
      </c>
      <c r="I27" s="18">
        <f>H27/7</f>
        <v/>
      </c>
      <c r="J27" s="16">
        <f>H27*13</f>
        <v/>
      </c>
      <c r="K27" s="17" t="inlineStr"/>
    </row>
    <row r="28">
      <c r="A28" s="19" t="inlineStr">
        <is>
          <t>(variable)</t>
        </is>
      </c>
      <c r="B28" s="20" t="inlineStr">
        <is>
          <t>Domaines au choix, selon les manques identifies dans le registre au moment du lot</t>
        </is>
      </c>
      <c r="C28" s="19" t="inlineStr">
        <is>
          <t>Libre (5/jour)</t>
        </is>
      </c>
      <c r="D28" s="19" t="inlineStr">
        <is>
          <t>Oui</t>
        </is>
      </c>
      <c r="E28" s="19" t="inlineStr">
        <is>
          <t>Non</t>
        </is>
      </c>
      <c r="F28" s="19" t="inlineStr">
        <is>
          <t>Non</t>
        </is>
      </c>
      <c r="G28" s="19" t="n"/>
      <c r="H28" s="19" t="n">
        <v>35</v>
      </c>
      <c r="I28" s="21">
        <f>H28/7</f>
        <v/>
      </c>
      <c r="J28" s="19">
        <f>H28*13</f>
        <v/>
      </c>
      <c r="K28" s="20" t="inlineStr">
        <is>
          <t>Volontairement non pre-assigne : ce bloc absorbe la variabilite (ex. veille, gestion_projet, securite_ia, rse_developpement_durable, accessibilite_inclusion utilises le 20/08/2026)</t>
        </is>
      </c>
    </row>
    <row r="29">
      <c r="A29" s="22" t="inlineStr">
        <is>
          <t>TOTAL</t>
        </is>
      </c>
      <c r="B29" s="23" t="n"/>
      <c r="C29" s="23" t="n"/>
      <c r="D29" s="23" t="n"/>
      <c r="E29" s="23" t="n"/>
      <c r="F29" s="23" t="n"/>
      <c r="G29" s="23" t="n"/>
      <c r="H29" s="22">
        <f>SUM(H2:H28)</f>
        <v/>
      </c>
      <c r="I29" s="24">
        <f>H29/7</f>
        <v/>
      </c>
      <c r="J29" s="22">
        <f>SUM(J2:J28)</f>
        <v/>
      </c>
      <c r="K29" s="23" t="n"/>
    </row>
    <row r="31">
      <c r="A31" s="3" t="inlineStr">
        <is>
          <t>dont bloc CPL (20/jour, non negociable)</t>
        </is>
      </c>
      <c r="H31" s="3">
        <f>SUM(H2,H3,H4,H5,H6,H7,H8,H9,H10,H11,H12,H13)</f>
        <v/>
      </c>
    </row>
    <row r="32">
      <c r="A32" s="3" t="inlineStr">
        <is>
          <t>dont bloc Secteurs d'activite (10/jour)</t>
        </is>
      </c>
      <c r="H32" s="3">
        <f>SUM(H14,H15,H16,H17,H18,H19,H20,H21,H22)</f>
        <v/>
      </c>
    </row>
    <row r="33">
      <c r="A33" s="3" t="inlineStr">
        <is>
          <t>dont bloc Psychologie/emotions (10/jour)</t>
        </is>
      </c>
      <c r="H33" s="3">
        <f>SUM(H23,H24)</f>
        <v/>
      </c>
    </row>
    <row r="34">
      <c r="A34" s="3" t="inlineStr">
        <is>
          <t>dont bloc Culture cinema/musique/lecture (15/jour)</t>
        </is>
      </c>
      <c r="H34" s="3">
        <f>SUM(H25,H26,H27)</f>
        <v/>
      </c>
    </row>
    <row r="35">
      <c r="A35" s="3" t="inlineStr">
        <is>
          <t>dont bloc Libre, domaines au choix (5/jour)</t>
        </is>
      </c>
      <c r="H35" s="3">
        <f>SUM(H28)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2026-08-21T11:27:36Z</dcterms:created>
  <dcterms:modified xmlns:dcterms="http://purl.org/dc/terms/" xmlns:xsi="http://www.w3.org/2001/XMLSchema-instance" xsi:type="dcterms:W3CDTF">2026-08-21T11:27:36Z</dcterms:modified>
</cp:coreProperties>
</file>